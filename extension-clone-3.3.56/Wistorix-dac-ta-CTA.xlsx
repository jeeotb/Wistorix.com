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Điểm chạm" sheetId="2" state="visible" r:id="rId4"/>
    <sheet name="Copy chuẩn" sheetId="3" state="visible" r:id="rId5"/>
    <sheet name="Việc cần làm" sheetId="4" state="visible" r:id="rId6"/>
    <sheet name="Đo lường" sheetId="5" state="visible" r:id="rId7"/>
  </sheets>
  <definedNames>
    <definedName function="false" hidden="true" localSheetId="1" name="_xlnm._FilterDatabase" vbProcedure="false">'Điểm chạm'!$A$1:$L$17</definedName>
    <definedName function="false" hidden="true" localSheetId="3" name="_xlnm._FilterDatabase" vbProcedure="false">'Việc cần làm'!$A$1:$G$15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<sst xmlns="http://schemas.openxmlformats.org/spreadsheetml/2006/main" count="364" uniqueCount="271">
  <si>
    <t xml:space="preserve">Wistorix · Bộ CTA và popup nâng gói</t>
  </si>
  <si>
    <t xml:space="preserve">Mô hình 25 tệp mỗi ngày · quét miễn phí không giới hạn · bản 3.3.56 · cập nhật 02/09/2026</t>
  </si>
  <si>
    <t xml:space="preserve">Bốn quy tắc của mô hình</t>
  </si>
  <si>
    <t xml:space="preserve">25 tệp mỗi ngày, một bộ đếm duy nhất</t>
  </si>
  <si>
    <t xml:space="preserve">Tính chung cho mọi thao tác: thu hồi quyền chia sẻ, xoá, khôi phục, xoá vĩnh viễn, chuyển quyền sở hữu. Không tách hạn mức riêng theo loại việc.</t>
  </si>
  <si>
    <t xml:space="preserve">Quét và xem miễn phí tuyệt đối</t>
  </si>
  <si>
    <t xml:space="preserve">Quét không giới hạn số lần, xem, lọc, tìm kiếm, xem trước, xuất báo cáo, tải xuống. Đây là phần tạo ra nhu cầu nên không được chạm vào.</t>
  </si>
  <si>
    <t xml:space="preserve">Hạn mức hoàn lại sau 24 giờ cuốn chiếu</t>
  </si>
  <si>
    <t xml:space="preserve">Tính từ lúc dùng hết lượt cuối, không reset lúc 00:00. Nếu reset theo mốc 00:00, người dùng dùng 25 tệp lúc 23:59 rồi qua 00:01 nhận thêm 25 tệp.</t>
  </si>
  <si>
    <t xml:space="preserve">Không ước lượng số ngày trong copy</t>
  </si>
  <si>
    <t xml:space="preserve">Tệp mới phát sinh mỗi ngày nên tồn đọng không đứng yên. Mọi nơi chỉ nêu số tệp cần xử lý, lấy thẳng từ kết quả quét.</t>
  </si>
  <si>
    <t xml:space="preserve">Trục chặn thứ hai: số Drive</t>
  </si>
  <si>
    <t xml:space="preserve">Miễn phí, gói tháng, gói năm đều 1 Drive. Từ Drive thứ hai thuộc Multi-Wistorix. Lỗ hổng: addNewAccount() chưa kiểm tra gói.</t>
  </si>
  <si>
    <t xml:space="preserve">Thống kê 16 điểm chạm</t>
  </si>
  <si>
    <t xml:space="preserve">Ưu tiên 1 · làm trước</t>
  </si>
  <si>
    <t xml:space="preserve">Ưu tiên 2</t>
  </si>
  <si>
    <t xml:space="preserve">Ưu tiên 3</t>
  </si>
  <si>
    <t xml:space="preserve">Đã xong</t>
  </si>
  <si>
    <t xml:space="preserve">Đang làm</t>
  </si>
  <si>
    <t xml:space="preserve">Chưa bắt đầu</t>
  </si>
  <si>
    <t xml:space="preserve">Cách dùng file này</t>
  </si>
  <si>
    <t xml:space="preserve">Ô chữ xanh nền vàng</t>
  </si>
  <si>
    <t xml:space="preserve">Là ô để bạn điền: Trạng thái, Người phụ trách, Sprint ở sheet Điểm chạm và Việc cần làm. Mọi ô khác là đặc tả, sửa thì phải cập nhật lại tài liệu nguồn.</t>
  </si>
  <si>
    <t xml:space="preserve">Giá trị hợp lệ của Trạng thái</t>
  </si>
  <si>
    <t xml:space="preserve">Chưa bắt đầu · Đang làm · Đã xong. Viết đúng ba chuỗi này thì ô thống kê ở trên mới đếm đúng.</t>
  </si>
  <si>
    <t xml:space="preserve">Tài liệu nguồn</t>
  </si>
  <si>
    <t xml:space="preserve">Bản đồ CTA, cây quyết định popup, thang nâng cấp, hạn mức gói miễn phí. Đều nằm trong project Wistorix trên Claude.</t>
  </si>
  <si>
    <t xml:space="preserve">Mã</t>
  </si>
  <si>
    <t xml:space="preserve">Nhóm</t>
  </si>
  <si>
    <t xml:space="preserve">Vị trí trong ứng dụng</t>
  </si>
  <si>
    <t xml:space="preserve">Phần tử trong code</t>
  </si>
  <si>
    <t xml:space="preserve">Điều kiện kích hoạt</t>
  </si>
  <si>
    <t xml:space="preserve">Dạng hiển thị</t>
  </si>
  <si>
    <t xml:space="preserve">Bán gì</t>
  </si>
  <si>
    <t xml:space="preserve">Ưu tiên</t>
  </si>
  <si>
    <t xml:space="preserve">Trạng thái</t>
  </si>
  <si>
    <t xml:space="preserve">Người phụ trách</t>
  </si>
  <si>
    <t xml:space="preserve">Sprint</t>
  </si>
  <si>
    <t xml:space="preserve">Ghi chú</t>
  </si>
  <si>
    <t xml:space="preserve">A1</t>
  </si>
  <si>
    <t xml:space="preserve">A · Điểm chốt đơn</t>
  </si>
  <si>
    <t xml:space="preserve">Modal xác nhận hành động</t>
  </si>
  <si>
    <t xml:space="preserve">#confirm-modal · #btn-confirm-ok</t>
  </si>
  <si>
    <t xml:space="preserve">Số tệp trong lô vượt lượt còn lại</t>
  </si>
  <si>
    <t xml:space="preserve">Modal, có nút nâng gói</t>
  </si>
  <si>
    <t xml:space="preserve">Gói tháng</t>
  </si>
  <si>
    <t xml:space="preserve">Có hai biến thể: còn lượt và đã hết lượt. Xem sheet Copy chuẩn</t>
  </si>
  <si>
    <t xml:space="preserve">A2</t>
  </si>
  <si>
    <t xml:space="preserve">Thanh chọn hàng loạt</t>
  </si>
  <si>
    <t xml:space="preserve">#bulk-action-bar · dưới #bulk-count</t>
  </si>
  <si>
    <t xml:space="preserve">Ngay khi số tệp tick vượt lượt còn lại</t>
  </si>
  <si>
    <t xml:space="preserve">Một dòng chữ trong thanh</t>
  </si>
  <si>
    <t xml:space="preserve">Không popup, không chặn nút</t>
  </si>
  <si>
    <t xml:space="preserve">A3</t>
  </si>
  <si>
    <t xml:space="preserve">Nút xử lý hết trên thẻ điểm bảo mật</t>
  </si>
  <si>
    <t xml:space="preserve">#deductions-fix-btn · #deductions-total</t>
  </si>
  <si>
    <t xml:space="preserve">Tổng mục đang trừ điểm vượt lượt còn lại</t>
  </si>
  <si>
    <t xml:space="preserve">Chú thích dưới nút</t>
  </si>
  <si>
    <t xml:space="preserve">Giữ nguyên nút, vẫn cho bấm</t>
  </si>
  <si>
    <t xml:space="preserve">B1</t>
  </si>
  <si>
    <t xml:space="preserve">B · Nhắc trong luồng</t>
  </si>
  <si>
    <t xml:space="preserve">Thẻ hạn mức ở sidebar</t>
  </si>
  <si>
    <t xml:space="preserve">a[data-route="/cleanup"] · renderSidebarCleanupCard()</t>
  </si>
  <si>
    <t xml:space="preserve">Luôn hiện, đổi giọng khi còn dưới 5 lượt</t>
  </si>
  <si>
    <t xml:space="preserve">Số liệu và footnote</t>
  </si>
  <si>
    <t xml:space="preserve">Không bán trực tiếp</t>
  </si>
  <si>
    <t xml:space="preserve">Thanh liền theo phần trăm kèm số thật, không dùng dãy vạch rời</t>
  </si>
  <si>
    <t xml:space="preserve">B2</t>
  </si>
  <si>
    <t xml:space="preserve">Ba thẻ rủi ro: công khai, cũ, trùng lặp</t>
  </si>
  <si>
    <t xml:space="preserve">.risk-action-btn (public · stale · dupes)</t>
  </si>
  <si>
    <t xml:space="preserve">Số tệp của riêng nhóm vượt lượt còn lại</t>
  </si>
  <si>
    <t xml:space="preserve">Chú thích nhỏ dưới nút</t>
  </si>
  <si>
    <t xml:space="preserve">Cùng màu với thẻ</t>
  </si>
  <si>
    <t xml:space="preserve">B3</t>
  </si>
  <si>
    <t xml:space="preserve">Dòng trạng thái bảng tệp</t>
  </si>
  <si>
    <t xml:space="preserve">#list-status</t>
  </si>
  <si>
    <t xml:space="preserve">Lượt trong ngày về 0</t>
  </si>
  <si>
    <t xml:space="preserve">Thay dòng đếm kết quả</t>
  </si>
  <si>
    <t xml:space="preserve">Danh sách vẫn xem và lọc đầy đủ</t>
  </si>
  <si>
    <t xml:space="preserve">B4</t>
  </si>
  <si>
    <t xml:space="preserve">Panel xem nhanh tệp</t>
  </si>
  <si>
    <t xml:space="preserve">#filePreview · modules/quick-preview.js</t>
  </si>
  <si>
    <t xml:space="preserve">Nhãn phụ cạnh nút</t>
  </si>
  <si>
    <t xml:space="preserve">Nút vẫn bấm được, dẫn sang trang nâng cấp</t>
  </si>
  <si>
    <t xml:space="preserve">C1</t>
  </si>
  <si>
    <t xml:space="preserve">C · Cột mốc</t>
  </si>
  <si>
    <t xml:space="preserve">Chốt ngày khi vừa hết lượt</t>
  </si>
  <si>
    <t xml:space="preserve">popup, hiện sau khi toast thành công đóng</t>
  </si>
  <si>
    <t xml:space="preserve">Lô vừa chạy đưa lượt về 0 và còn việc tồn</t>
  </si>
  <si>
    <t xml:space="preserve">Popup, 1 lần mỗi phiên</t>
  </si>
  <si>
    <t xml:space="preserve">Gói tháng, không nêu giá</t>
  </si>
  <si>
    <t xml:space="preserve">Nút chính là bật nhắc sáng, không phải mua gói. Tối đa 2 lần mỗi tuần</t>
  </si>
  <si>
    <t xml:space="preserve">C2</t>
  </si>
  <si>
    <t xml:space="preserve">Lời mời mua chính</t>
  </si>
  <si>
    <t xml:space="preserve">popup, tối đa 1 lần mỗi tuần</t>
  </si>
  <si>
    <t xml:space="preserve">Ngày thứ 3 chạm trần hoặc tồn từ 125 tệp, và tồn còn từ 50 tệp</t>
  </si>
  <si>
    <t xml:space="preserve">Popup, được phép nêu giá</t>
  </si>
  <si>
    <t xml:space="preserve">Gói tháng và gói năm</t>
  </si>
  <si>
    <t xml:space="preserve">Popup duy nhất được nói giá. Không bao giờ hiện trong hai ngày đầu</t>
  </si>
  <si>
    <t xml:space="preserve">C3</t>
  </si>
  <si>
    <t xml:space="preserve">Màn hình kết quả quét</t>
  </si>
  <si>
    <t xml:space="preserve">#view-scan-result · dưới #btn-view-dashboard</t>
  </si>
  <si>
    <t xml:space="preserve">Khối lượng vấn đề từ 75 mục trở lên</t>
  </si>
  <si>
    <t xml:space="preserve">Một dòng chữ, không nút</t>
  </si>
  <si>
    <t xml:space="preserve">Người dùng mới nhìn thấy vấn đề nên chưa bán</t>
  </si>
  <si>
    <t xml:space="preserve">D1</t>
  </si>
  <si>
    <t xml:space="preserve">D · Nền</t>
  </si>
  <si>
    <t xml:space="preserve">Thẻ nâng cấp ở sidebar</t>
  </si>
  <si>
    <t xml:space="preserve">a[data-route="/upgrade"] · dashboard.html</t>
  </si>
  <si>
    <t xml:space="preserve">Luôn hiện</t>
  </si>
  <si>
    <t xml:space="preserve">Phụ đề thẻ</t>
  </si>
  <si>
    <t xml:space="preserve">Phụ đề hiện là Quét không giới hạn, đang sai vì quét đã miễn phí</t>
  </si>
  <si>
    <t xml:space="preserve">D2</t>
  </si>
  <si>
    <t xml:space="preserve">Trang nâng cấp</t>
  </si>
  <si>
    <t xml:space="preserve">pages/upgrade-view.html · upgrade.js</t>
  </si>
  <si>
    <t xml:space="preserve">Trang</t>
  </si>
  <si>
    <t xml:space="preserve">Gỡ khối bán lượt lẻ (#pack-grid, #buy-scans-btn), thêm dòng so sánh hạn mức</t>
  </si>
  <si>
    <t xml:space="preserve">E1</t>
  </si>
  <si>
    <t xml:space="preserve">E · Vòng lặp quay lại</t>
  </si>
  <si>
    <t xml:space="preserve">Thông báo mỗi sáng</t>
  </si>
  <si>
    <t xml:space="preserve">chrome.alarms + chrome.notifications · background.js</t>
  </si>
  <si>
    <t xml:space="preserve">Còn việc tồn và người dùng đã bật nhắc ở C1</t>
  </si>
  <si>
    <t xml:space="preserve">Thông báo hệ thống</t>
  </si>
  <si>
    <t xml:space="preserve">Không bán, cấm nhét CTA</t>
  </si>
  <si>
    <t xml:space="preserve">Quyền alarms và notifications đã có sẵn trong manifest. Tắt sau 3 ngày không mở app</t>
  </si>
  <si>
    <t xml:space="preserve">E2</t>
  </si>
  <si>
    <t xml:space="preserve">Badge trên icon extension</t>
  </si>
  <si>
    <t xml:space="preserve">chrome.action.setBadgeText</t>
  </si>
  <si>
    <t xml:space="preserve">Luôn hiện khi còn việc tồn</t>
  </si>
  <si>
    <t xml:space="preserve">Số trên biểu tượng</t>
  </si>
  <si>
    <t xml:space="preserve">Không bán</t>
  </si>
  <si>
    <t xml:space="preserve">Nền dùng màu cảnh báo của bộ nhận diện, không dùng đỏ báo lỗi</t>
  </si>
  <si>
    <t xml:space="preserve">E3</t>
  </si>
  <si>
    <t xml:space="preserve">Dòng chào phiên đầu trong ngày</t>
  </si>
  <si>
    <t xml:space="preserve">Một dòng dưới tiêu đề dashboard</t>
  </si>
  <si>
    <t xml:space="preserve">Phiên đầu tiên trong ngày</t>
  </si>
  <si>
    <t xml:space="preserve">Một dòng trên đầu dashboard</t>
  </si>
  <si>
    <t xml:space="preserve">Trả lời: hôm nay làm được gì, còn bao nhiêu tệp</t>
  </si>
  <si>
    <t xml:space="preserve">E4</t>
  </si>
  <si>
    <t xml:space="preserve">Trang hạn mức với lịch 7 ngày</t>
  </si>
  <si>
    <t xml:space="preserve">pages/cleanup-view.html</t>
  </si>
  <si>
    <t xml:space="preserve">Trang, lịch 7 ngày</t>
  </si>
  <si>
    <t xml:space="preserve">Chuỗi ngày càng dài thì C2 càng có sức nặng</t>
  </si>
  <si>
    <t xml:space="preserve">Tình huống</t>
  </si>
  <si>
    <t xml:space="preserve">Tiêu đề</t>
  </si>
  <si>
    <t xml:space="preserve">Thân</t>
  </si>
  <si>
    <t xml:space="preserve">Nút chính</t>
  </si>
  <si>
    <t xml:space="preserve">Nút phụ</t>
  </si>
  <si>
    <t xml:space="preserve">Dòng chân</t>
  </si>
  <si>
    <t xml:space="preserve">Còn lượt, lô vượt hạn mức</t>
  </si>
  <si>
    <t xml:space="preserve">Xử lý {25} tệp trong hôm nay?</t>
  </si>
  <si>
    <t xml:space="preserve">Bạn đã chọn {46} tệp. Hạn mức hôm nay còn {25} lượt. {21} tệp còn lại xử lý tiếp khi hạn mức hoàn lại, 24 giờ sau lượt cuối. Mọi thao tác đều hoàn tác được trong 30 ngày, Wistorix không xoá vĩnh viễn.</t>
  </si>
  <si>
    <t xml:space="preserve">Xử lý 25 tệp ngay</t>
  </si>
  <si>
    <t xml:space="preserve">Nâng gói, xong cả 46 tệp</t>
  </si>
  <si>
    <t xml:space="preserve">59.000đ/tháng · huỷ bất cứ lúc nào</t>
  </si>
  <si>
    <t xml:space="preserve">Đã hết lượt</t>
  </si>
  <si>
    <t xml:space="preserve">Hạn mức hôm nay đã dùng hết</t>
  </si>
  <si>
    <t xml:space="preserve">Bạn đã chọn {46} tệp. Hạn mức hoàn lại lúc {13:10} ngày mai. Nâng gói để xử lý hết ngay bây giờ.</t>
  </si>
  <si>
    <t xml:space="preserve">Nâng gói · 59.000đ/tháng</t>
  </si>
  <si>
    <t xml:space="preserve">Bỏ qua</t>
  </si>
  <si>
    <t xml:space="preserve">Mọi thao tác hoàn tác được trong 30 ngày, Wistorix không xoá vĩnh viễn</t>
  </si>
  <si>
    <t xml:space="preserve">Chọn vượt hạn mức</t>
  </si>
  <si>
    <t xml:space="preserve">{46} tệp đã chọn · vượt {21} tệp so với hạn mức hôm nay. Nâng gói để xử lý hết trong một lần.</t>
  </si>
  <si>
    <t xml:space="preserve">Tồn đọng vượt hạn mức</t>
  </si>
  <si>
    <t xml:space="preserve">{63} mục đang trừ điểm · hạn mức hôm nay xử lý được {25} mục. Nâng gói để đưa điểm về 100 ngay hôm nay.</t>
  </si>
  <si>
    <t xml:space="preserve">Còn nhiều lượt</t>
  </si>
  <si>
    <t xml:space="preserve">Hạn mức hôm nay</t>
  </si>
  <si>
    <t xml:space="preserve">Còn {18}/25 tệp hôm nay</t>
  </si>
  <si>
    <t xml:space="preserve">Hoàn lại 24 giờ sau khi dùng hết</t>
  </si>
  <si>
    <t xml:space="preserve">Còn 5 lượt trở xuống</t>
  </si>
  <si>
    <t xml:space="preserve">Còn {4} tệp hôm nay</t>
  </si>
  <si>
    <t xml:space="preserve">Hoàn lại 24 giờ sau khi dùng hết · nâng gói để không phải chờ</t>
  </si>
  <si>
    <t xml:space="preserve">Đã dùng hết 25 tệp hôm nay</t>
  </si>
  <si>
    <t xml:space="preserve">Hoàn lại lúc {12:10} ngày mai · nâng gói để tiếp tục ngay</t>
  </si>
  <si>
    <t xml:space="preserve">Nhóm rủi ro vượt hạn mức</t>
  </si>
  <si>
    <t xml:space="preserve">{46} tệp · vượt hạn mức hôm nay {21} tệp</t>
  </si>
  <si>
    <t xml:space="preserve">Hết lượt trong ngày</t>
  </si>
  <si>
    <t xml:space="preserve">Hôm nay đã xử lý 25/25 tệp. Danh sách vẫn xem và lọc đầy đủ, thao tác mở lại khi hạn mức hoàn lại hoặc ngay khi nâng gói.</t>
  </si>
  <si>
    <t xml:space="preserve">Hết lượt hôm nay · nâng gói để xử lý tiếp</t>
  </si>
  <si>
    <t xml:space="preserve">Chốt ngày</t>
  </si>
  <si>
    <t xml:space="preserve">Đã xử lý xong 25 tệp hôm nay</t>
  </si>
  <si>
    <t xml:space="preserve">Các tệp vừa xử lý vẫn khôi phục được trong 30 ngày, Wistorix không xoá vĩnh viễn. Hạn mức hoàn lại lúc {13:40} ngày mai.</t>
  </si>
  <si>
    <t xml:space="preserve">Nhắc tôi vào sáng mai</t>
  </si>
  <si>
    <t xml:space="preserve">Đóng</t>
  </si>
  <si>
    <t xml:space="preserve">Dòng dưới cùng, luôn hiện: Còn {63} tệp cần xử lý. Nâng gói để xử lý hết ngay hôm nay</t>
  </si>
  <si>
    <t xml:space="preserve">{5} ngày liên tiếp bạn dùng hết hạn mức</t>
  </si>
  <si>
    <t xml:space="preserve">Wistorix đã xử lý {125} tệp cho bạn, còn {63} tệp cần xử lý. Gói tháng bỏ giới hạn số tệp mỗi ngày, bạn xử lý hết trong một buổi thay vì chia ra nhiều hôm.</t>
  </si>
  <si>
    <t xml:space="preserve">429.000đ/năm nếu trả theo năm · tiết kiệm khoảng 40%</t>
  </si>
  <si>
    <t xml:space="preserve">Kết quả quét, từ 75 mục</t>
  </si>
  <si>
    <t xml:space="preserve">{63} mục cần xử lý · hạn mức miễn phí xử lý 25 tệp mỗi ngày</t>
  </si>
  <si>
    <t xml:space="preserve">Nâng gói</t>
  </si>
  <si>
    <t xml:space="preserve">Dọn dẹp không giới hạn số tệp</t>
  </si>
  <si>
    <t xml:space="preserve">Thay cho phụ đề cũ Quét không giới hạn</t>
  </si>
  <si>
    <t xml:space="preserve">Dòng so sánh ở trang nâng cấp</t>
  </si>
  <si>
    <t xml:space="preserve">Miễn phí: quét không giới hạn · dọn dẹp 25 tệp mỗi ngày. ONE-WISTORIX: quét không giới hạn · dọn dẹp không giới hạn số tệp</t>
  </si>
  <si>
    <t xml:space="preserve">Thông báo sáng</t>
  </si>
  <si>
    <t xml:space="preserve">Hạn mức hôm nay đã sẵn sàng</t>
  </si>
  <si>
    <t xml:space="preserve">Còn {63} tệp cần xử lý. Mở Wistorix để làm 25 tệp hôm nay.</t>
  </si>
  <si>
    <t xml:space="preserve">Không bao giờ nhét lời mời mua vào thông báo</t>
  </si>
  <si>
    <t xml:space="preserve">Còn hạn mức</t>
  </si>
  <si>
    <t xml:space="preserve">Hạn mức còn {25} tệp cho hôm nay. Còn {88} tệp cần xử lý.</t>
  </si>
  <si>
    <t xml:space="preserve">Hết hạn mức</t>
  </si>
  <si>
    <t xml:space="preserve">Đã dùng hết 25 tệp hôm nay, hạn mức hoàn lại lúc {12:10} ngày mai. Còn {50} tệp cần xử lý.</t>
  </si>
  <si>
    <t xml:space="preserve">Tồn đọng bằng 0</t>
  </si>
  <si>
    <t xml:space="preserve">Drive đã sạch. Wistorix sẽ báo khi có tệp mới cần xử lý.</t>
  </si>
  <si>
    <t xml:space="preserve">Vị trí trong mã</t>
  </si>
  <si>
    <t xml:space="preserve">Việc cần làm</t>
  </si>
  <si>
    <t xml:space="preserve">Liên quan</t>
  </si>
  <si>
    <t xml:space="preserve">modules/actions.js</t>
  </si>
  <si>
    <t xml:space="preserve">BASE_FREE_FILES = 25 và computeCleanupCredits() đang tính tổng tích luỹ trọn đời. Đổi sang hạn mức ngày với dailyLimit, usedToday, exhaustedAt, resetAt</t>
  </si>
  <si>
    <t xml:space="preserve">Toàn bộ</t>
  </si>
  <si>
    <t xml:space="preserve">modules/actions.js · dòng 14</t>
  </si>
  <si>
    <t xml:space="preserve">CLEANUP_CREDIT_EXHAUSTED_MESSAGE đang nói đã dùng hết 25 tệp dọn dẹp và gợi ý mua thời gian. Viết lại theo mô hình ngày, nêu mốc hoàn lại, bỏ nhắc mua lượt lẻ</t>
  </si>
  <si>
    <t xml:space="preserve">B3 · B4</t>
  </si>
  <si>
    <t xml:space="preserve">modules/entitlement.js</t>
  </si>
  <si>
    <t xml:space="preserve">getCleanupEntitlement() thêm chế độ theo ngày cho gói miễn phí, giữ unlimited cho ONE và MULTI. Bổ sung maxDrives: 1 cho miễn phí và ONE, không giới hạn cho MULTI</t>
  </si>
  <si>
    <t xml:space="preserve">Một bộ đếm duy nhất</t>
  </si>
  <si>
    <t xml:space="preserve">Ba nơi gọi requireCleanupCredit độc lập: dashboard.js:2027, mydrive.js:1328, email-shared.js:52. Gom về một cửa để không đường nào lọt hạn mức</t>
  </si>
  <si>
    <t xml:space="preserve">A1 · A2 · A3</t>
  </si>
  <si>
    <t xml:space="preserve">modules/server-state.js</t>
  </si>
  <si>
    <t xml:space="preserve">getServerProfile trả thêm exhaustedAt, resetAt, usedToday và chuỗi ngày chạm trần. Hạn mức do máy chủ chốt, không tính ở phía trình duyệt</t>
  </si>
  <si>
    <t xml:space="preserve">C1 · C2</t>
  </si>
  <si>
    <t xml:space="preserve">modules/upsell.js (mới)</t>
  </si>
  <si>
    <t xml:space="preserve">Gom cả 16 vị trí vào một module: hàm decidePopup, hàm tính mốc hoàn lại hạn mức, luật tần suất, cờ bật tắt từng vị trí để đo A/B. Không đặt hàm ước lượng số ngày vào đây</t>
  </si>
  <si>
    <t xml:space="preserve">dashboard.js · dòng 2097</t>
  </si>
  <si>
    <t xml:space="preserve">showUpgradeScreen(trigger) hiện chỉ nhận manual_click và file_limit_reached. Bổ sung daily_limit_reached, limit_streak, bulk_exceeds_quota, fix_all_exceeds_quota</t>
  </si>
  <si>
    <t xml:space="preserve">Đo lường</t>
  </si>
  <si>
    <t xml:space="preserve">dashboard.html</t>
  </si>
  <si>
    <t xml:space="preserve">Sửa phụ đề thẻ nâng cấp theo D1, thêm phần tử cho dòng chú thích A2 trong #bulk-action-bar và dòng chào E3</t>
  </si>
  <si>
    <t xml:space="preserve">D1 · A2 · E3</t>
  </si>
  <si>
    <t xml:space="preserve">pages/upgrade-view.html · dòng 455-475</t>
  </si>
  <si>
    <t xml:space="preserve">Gỡ khối bán lượt lẻ (#pack-grid, #packInfoLine, #totalPrice, #buy-scans-btn) và phần xử lý trong upgrade.js. Thêm dòng so sánh hạn mức</t>
  </si>
  <si>
    <t xml:space="preserve">background.js</t>
  </si>
  <si>
    <t xml:space="preserve">Thêm alarm nhắc buổi sáng cho E1 bên cạnh checkLicenseRenewal đang chạy 1440 phút, cập nhật badge E2 khi số tồn đọng đổi. Quyền alarms và notifications đã có sẵn</t>
  </si>
  <si>
    <t xml:space="preserve">E1 · E2</t>
  </si>
  <si>
    <t xml:space="preserve">modules/account-manager.js</t>
  </si>
  <si>
    <t xml:space="preserve">addNewAccount() chưa kiểm tra gói nên chưa chặn số Drive. Thêm giới hạn maxDrives theo tier trước khi bán trục Multi-Wistorix</t>
  </si>
  <si>
    <t xml:space="preserve">Multi</t>
  </si>
  <si>
    <t xml:space="preserve">Máy chủ · hồ sơ người dùng</t>
  </si>
  <si>
    <t xml:space="preserve">Lưu chuỗi ngày chạm trần và ngày hoạt động gần nhất. Toàn bộ lịch mời mua phụ thuộc con số này, tính ở trình duyệt sẽ sai ngay khi người dùng đổi máy</t>
  </si>
  <si>
    <t xml:space="preserve">Kiểm chứng sản phẩm</t>
  </si>
  <si>
    <t xml:space="preserve">Đo phân bố khối lượng tồn đọng trên người dùng thật. Nếu phần lớn dưới 75 mục thì cửa sổ bán hàng chỉ có hai ngày và C2 nên bật ở ngày thứ 2</t>
  </si>
  <si>
    <t xml:space="preserve">Lịch mời mua</t>
  </si>
  <si>
    <t xml:space="preserve">Nguồn việc lặp lại</t>
  </si>
  <si>
    <t xml:space="preserve">Sau khi tồn đọng cạn, vòng lặp dừng và C2 không bao giờ hiện. Cần quét lại định kỳ rồi báo phần chênh lệch. Chưa có trong 3.3.56, cần kế hoạch riêng</t>
  </si>
  <si>
    <t xml:space="preserve">Giữ nhịp</t>
  </si>
  <si>
    <t xml:space="preserve">Chỉ số</t>
  </si>
  <si>
    <t xml:space="preserve">Cách đo</t>
  </si>
  <si>
    <t xml:space="preserve">Ngưỡng hành động</t>
  </si>
  <si>
    <t xml:space="preserve">Hiển thị cho người dùng</t>
  </si>
  <si>
    <t xml:space="preserve">D2 và D7 retention</t>
  </si>
  <si>
    <t xml:space="preserve">Tỷ lệ quay lại ngày thứ hai và ngày thứ bảy, tách riêng nhóm bật nhắc E1 và nhóm không bật</t>
  </si>
  <si>
    <t xml:space="preserve">Chỉ số nền. Nếu người dùng không quay lại ngày thứ hai thì mọi tối ưu copy ở nhóm A và C đều vô nghĩa</t>
  </si>
  <si>
    <t xml:space="preserve">Không</t>
  </si>
  <si>
    <t xml:space="preserve">CVR theo placement</t>
  </si>
  <si>
    <t xml:space="preserve">Cặp upgrade_cta_shown và upgrade_cta_clicked cùng placement, nối tới lượt kích hoạt gói</t>
  </si>
  <si>
    <t xml:space="preserve">Vị trí nào dưới 1% tỷ lệ bấm sau hai tuần thì gỡ, vì giữ lại làm loãng những vị trí đang chạy tốt</t>
  </si>
  <si>
    <t xml:space="preserve">Tỷ lệ mở thông báo E1</t>
  </si>
  <si>
    <t xml:space="preserve">daily_reminder_sent và daily_reminder_opened</t>
  </si>
  <si>
    <t xml:space="preserve">Dưới 15% thì giảm tần suất trước khi người dùng kịp tắt hẳn. Mất quyền gửi thông báo là mất luôn kênh kéo quay lại rẻ nhất</t>
  </si>
  <si>
    <t xml:space="preserve">Số ngày dọn hết tồn đọng</t>
  </si>
  <si>
    <t xml:space="preserve">Tồn đọng ban đầu chia cho số tệp xử lý trung bình mỗi ngày</t>
  </si>
  <si>
    <t xml:space="preserve">Quyết định cửa sổ bán hàng dài bao nhiêu. Dưới 3 ngày thì C2 gần như không kịp xuất hiện, cần xem lại chính hạn mức</t>
  </si>
  <si>
    <t xml:space="preserve">Không · chỉ số nội bộ</t>
  </si>
  <si>
    <t xml:space="preserve">Chuỗi ngày chạm trần</t>
  </si>
  <si>
    <t xml:space="preserve">Số ngày liên tiếp người dùng dùng hết 25 tệp, lưu ở máy chủ</t>
  </si>
  <si>
    <t xml:space="preserve">Là điều kiện kích hoạt C2. Cũng là câu mở đầu của popup C2</t>
  </si>
  <si>
    <t xml:space="preserve">Có · trong C2 và E4</t>
  </si>
  <si>
    <t xml:space="preserve">Tỷ lệ chọn Bỏ qua ở C2</t>
  </si>
  <si>
    <t xml:space="preserve">Đếm lượt bấm nút phụ trên tổng lượt hiện C2</t>
  </si>
  <si>
    <t xml:space="preserve">Nếu quá cao thì thời điểm hoặc ngưỡng tồn đọng đang sai, chỉnh ngưỡng trước khi chỉnh copy</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</si>
</sst>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6"/>
      <color rgb="FF0E1726"/>
      <name val="Arial"/>
      <family val="0"/>
      <charset val="1"/>
    </font>
    <font>
      <sz val="9"/>
      <color rgb="FF46536A"/>
      <name val="Arial"/>
      <family val="0"/>
      <charset val="1"/>
    </font>
    <font>
      <b val="true"/>
      <sz val="12"/>
      <color rgb="FF1D4ED8"/>
      <name val="Arial"/>
      <family val="0"/>
      <charset val="1"/>
    </font>
    <font>
      <b val="true"/>
      <sz val="10"/>
      <color rgb="FF0E1726"/>
      <name val="Arial"/>
      <family val="0"/>
      <charset val="1"/>
    </font>
    <font>
      <sz val="10"/>
      <color rgb="FF0E1726"/>
      <name val="Arial"/>
      <family val="0"/>
      <charset val="1"/>
    </font>
    <font>
      <b val="true"/>
      <sz val="9"/>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1D4ED8"/>
        <bgColor rgb="FF3366FF"/>
      </patternFill>
    </fill>
    <fill>
      <patternFill patternType="solid">
        <fgColor rgb="FFF2F6FD"/>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D7E0EA"/>
      </left>
      <right style="thin">
        <color rgb="FFD7E0EA"/>
      </right>
      <top style="thin">
        <color rgb="FFD7E0EA"/>
      </top>
      <bottom style="thin">
        <color rgb="FFD7E0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left" vertical="center"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D4ED8"/>
          <bgColor rgb="FF000000"/>
        </patternFill>
      </fill>
    </dxf>
    <dxf>
      <fill>
        <patternFill patternType="solid">
          <fgColor rgb="FFF2F6FD"/>
          <bgColor rgb="FF000000"/>
        </patternFill>
      </fill>
    </dxf>
    <dxf>
      <fill>
        <patternFill patternType="solid">
          <bgColor rgb="FF000000"/>
        </patternFill>
      </fill>
    </dxf>
    <dxf>
      <fill>
        <patternFill patternType="solid">
          <fgColor rgb="FF0E1726"/>
          <bgColor rgb="FF000000"/>
        </patternFill>
      </fill>
    </dxf>
    <dxf>
      <fill>
        <patternFill patternType="solid">
          <fgColor rgb="FFFFFFFF"/>
          <bgColor rgb="FF000000"/>
        </patternFill>
      </fill>
    </dxf>
    <dxf>
      <fill>
        <patternFill patternType="solid">
          <fgColor rgb="FFFFFF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6FD"/>
      <rgbColor rgb="FFCCFFFF"/>
      <rgbColor rgb="FF660066"/>
      <rgbColor rgb="FFFF8080"/>
      <rgbColor rgb="FF1D4ED8"/>
      <rgbColor rgb="FFD7E0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536A"/>
      <rgbColor rgb="FF969696"/>
      <rgbColor rgb="FF003366"/>
      <rgbColor rgb="FF339966"/>
      <rgbColor rgb="FF0E1726"/>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4"/>
    <col collapsed="false" customWidth="true" hidden="false" outlineLevel="0" max="3" min="3" style="0" width="80"/>
    <col collapsed="false" customWidth="true" hidden="false" outlineLevel="0" max="4" min="4" style="0" width="14"/>
  </cols>
  <sheetData>
    <row r="2" customFormat="false" ht="35.8" hidden="false" customHeight="false" outlineLevel="0" collapsed="false">
      <c r="B2" s="1" t="s">
        <v>0</v>
      </c>
    </row>
    <row r="3" customFormat="false" ht="32.8" hidden="false" customHeight="false" outlineLevel="0" collapsed="false">
      <c r="B3" s="2" t="s">
        <v>1</v>
      </c>
    </row>
    <row r="5" customFormat="false" ht="15" hidden="false" customHeight="false" outlineLevel="0" collapsed="false">
      <c r="B5" s="3" t="s">
        <v>2</v>
      </c>
    </row>
    <row r="6" customFormat="false" ht="30" hidden="false" customHeight="true" outlineLevel="0" collapsed="false">
      <c r="B6" s="4" t="s">
        <v>3</v>
      </c>
      <c r="C6" s="5" t="s">
        <v>4</v>
      </c>
    </row>
    <row r="7" customFormat="false" ht="30" hidden="false" customHeight="true" outlineLevel="0" collapsed="false">
      <c r="B7" s="4" t="s">
        <v>5</v>
      </c>
      <c r="C7" s="5" t="s">
        <v>6</v>
      </c>
    </row>
    <row r="8" customFormat="false" ht="30" hidden="false" customHeight="true" outlineLevel="0" collapsed="false">
      <c r="B8" s="4" t="s">
        <v>7</v>
      </c>
      <c r="C8" s="5" t="s">
        <v>8</v>
      </c>
    </row>
    <row r="9" customFormat="false" ht="30" hidden="false" customHeight="true" outlineLevel="0" collapsed="false">
      <c r="B9" s="4" t="s">
        <v>9</v>
      </c>
      <c r="C9" s="5" t="s">
        <v>10</v>
      </c>
    </row>
    <row r="10" customFormat="false" ht="30" hidden="false" customHeight="true" outlineLevel="0" collapsed="false">
      <c r="B10" s="4" t="s">
        <v>11</v>
      </c>
      <c r="C10" s="5" t="s">
        <v>12</v>
      </c>
    </row>
    <row r="13" customFormat="false" ht="15" hidden="false" customHeight="false" outlineLevel="0" collapsed="false">
      <c r="B13" s="3" t="s">
        <v>13</v>
      </c>
    </row>
    <row r="14" customFormat="false" ht="15" hidden="false" customHeight="false" outlineLevel="0" collapsed="false">
      <c r="B14" s="4" t="s">
        <v>14</v>
      </c>
      <c r="C14" s="6" t="n">
        <f aca="false">COUNTIF('Điểm chạm'!$H:$H,1)</f>
        <v>9</v>
      </c>
    </row>
    <row r="15" customFormat="false" ht="15" hidden="false" customHeight="false" outlineLevel="0" collapsed="false">
      <c r="B15" s="4" t="s">
        <v>15</v>
      </c>
      <c r="C15" s="6" t="n">
        <f aca="false">COUNTIF('Điểm chạm'!$H:$H,2)</f>
        <v>6</v>
      </c>
    </row>
    <row r="16" customFormat="false" ht="15" hidden="false" customHeight="false" outlineLevel="0" collapsed="false">
      <c r="B16" s="4" t="s">
        <v>16</v>
      </c>
      <c r="C16" s="6" t="n">
        <f aca="false">COUNTIF('Điểm chạm'!$H:$H,3)</f>
        <v>1</v>
      </c>
    </row>
    <row r="17" customFormat="false" ht="15" hidden="false" customHeight="false" outlineLevel="0" collapsed="false">
      <c r="B17" s="4" t="s">
        <v>17</v>
      </c>
      <c r="C17" s="6" t="n">
        <f aca="false">COUNTIF('Điểm chạm'!$I:$I,"Đã xong")</f>
        <v>0</v>
      </c>
    </row>
    <row r="18" customFormat="false" ht="15" hidden="false" customHeight="false" outlineLevel="0" collapsed="false">
      <c r="B18" s="4" t="s">
        <v>18</v>
      </c>
      <c r="C18" s="6" t="n">
        <f aca="false">COUNTIF('Điểm chạm'!$I:$I,"Đang làm")</f>
        <v>0</v>
      </c>
    </row>
    <row r="19" customFormat="false" ht="15" hidden="false" customHeight="false" outlineLevel="0" collapsed="false">
      <c r="B19" s="4" t="s">
        <v>19</v>
      </c>
      <c r="C19" s="6" t="n">
        <f aca="false">COUNTIF('Điểm chạm'!$I:$I,"Chưa bắt đầu")</f>
        <v>16</v>
      </c>
    </row>
    <row r="21" customFormat="false" ht="15" hidden="false" customHeight="false" outlineLevel="0" collapsed="false">
      <c r="B21" s="3" t="s">
        <v>20</v>
      </c>
    </row>
    <row r="22" customFormat="false" ht="30" hidden="false" customHeight="true" outlineLevel="0" collapsed="false">
      <c r="B22" s="4" t="s">
        <v>21</v>
      </c>
      <c r="C22" s="5" t="s">
        <v>22</v>
      </c>
    </row>
    <row r="23" customFormat="false" ht="30" hidden="false" customHeight="true" outlineLevel="0" collapsed="false">
      <c r="B23" s="4" t="s">
        <v>23</v>
      </c>
      <c r="C23" s="5" t="s">
        <v>24</v>
      </c>
    </row>
    <row r="24" customFormat="false" ht="30" hidden="false" customHeight="true" outlineLevel="0" collapsed="false">
      <c r="B24" s="4" t="s">
        <v>25</v>
      </c>
      <c r="C24" s="5"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34"/>
    <col collapsed="false" customWidth="true" hidden="false" outlineLevel="0" max="5" min="4" style="0" width="40"/>
    <col collapsed="false" customWidth="true" hidden="false" outlineLevel="0" max="6" min="6" style="0" width="26"/>
    <col collapsed="false" customWidth="true" hidden="false" outlineLevel="0" max="7" min="7" style="0" width="24"/>
    <col collapsed="false" customWidth="true" hidden="false" outlineLevel="0" max="8" min="8" style="0" width="8"/>
    <col collapsed="false" customWidth="true" hidden="false" outlineLevel="0" max="9" min="9" style="0" width="15"/>
    <col collapsed="false" customWidth="true" hidden="false" outlineLevel="0" max="10" min="10" style="0" width="18"/>
    <col collapsed="false" customWidth="true" hidden="false" outlineLevel="0" max="11" min="11" style="0" width="10"/>
    <col collapsed="false" customWidth="true" hidden="false" outlineLevel="0" max="12" min="12" style="0" width="34"/>
  </cols>
  <sheetData>
    <row r="1" customFormat="false" ht="27.75" hidden="false" customHeight="true" outlineLevel="0" collapsed="false">
      <c r="A1" s="7" t="s">
        <v>27</v>
      </c>
      <c r="B1" s="7" t="s">
        <v>28</v>
      </c>
      <c r="C1" s="7" t="s">
        <v>29</v>
      </c>
      <c r="D1" s="7" t="s">
        <v>30</v>
      </c>
      <c r="E1" s="7" t="s">
        <v>31</v>
      </c>
      <c r="F1" s="7" t="s">
        <v>32</v>
      </c>
      <c r="G1" s="7" t="s">
        <v>33</v>
      </c>
      <c r="H1" s="7" t="s">
        <v>34</v>
      </c>
      <c r="I1" s="7" t="s">
        <v>35</v>
      </c>
      <c r="J1" s="7" t="s">
        <v>36</v>
      </c>
      <c r="K1" s="7" t="s">
        <v>37</v>
      </c>
      <c r="L1" s="7" t="s">
        <v>38</v>
      </c>
    </row>
    <row r="2" customFormat="false" ht="43.5" hidden="false" customHeight="true" outlineLevel="0" collapsed="false">
      <c r="A2" s="8" t="s">
        <v>39</v>
      </c>
      <c r="B2" s="8" t="s">
        <v>40</v>
      </c>
      <c r="C2" s="8" t="s">
        <v>41</v>
      </c>
      <c r="D2" s="8" t="s">
        <v>42</v>
      </c>
      <c r="E2" s="8" t="s">
        <v>43</v>
      </c>
      <c r="F2" s="8" t="s">
        <v>44</v>
      </c>
      <c r="G2" s="8" t="s">
        <v>45</v>
      </c>
      <c r="H2" s="8" t="n">
        <v>1</v>
      </c>
      <c r="I2" s="9" t="s">
        <v>19</v>
      </c>
      <c r="J2" s="9"/>
      <c r="K2" s="9"/>
      <c r="L2" s="8" t="s">
        <v>46</v>
      </c>
    </row>
    <row r="3" customFormat="false" ht="43.5" hidden="false" customHeight="true" outlineLevel="0" collapsed="false">
      <c r="A3" s="10" t="s">
        <v>47</v>
      </c>
      <c r="B3" s="10" t="s">
        <v>40</v>
      </c>
      <c r="C3" s="10" t="s">
        <v>48</v>
      </c>
      <c r="D3" s="10" t="s">
        <v>49</v>
      </c>
      <c r="E3" s="10" t="s">
        <v>50</v>
      </c>
      <c r="F3" s="10" t="s">
        <v>51</v>
      </c>
      <c r="G3" s="10" t="s">
        <v>45</v>
      </c>
      <c r="H3" s="10" t="n">
        <v>1</v>
      </c>
      <c r="I3" s="9" t="s">
        <v>19</v>
      </c>
      <c r="J3" s="9"/>
      <c r="K3" s="9"/>
      <c r="L3" s="10" t="s">
        <v>52</v>
      </c>
    </row>
    <row r="4" customFormat="false" ht="43.5" hidden="false" customHeight="true" outlineLevel="0" collapsed="false">
      <c r="A4" s="8" t="s">
        <v>53</v>
      </c>
      <c r="B4" s="8" t="s">
        <v>40</v>
      </c>
      <c r="C4" s="8" t="s">
        <v>54</v>
      </c>
      <c r="D4" s="8" t="s">
        <v>55</v>
      </c>
      <c r="E4" s="8" t="s">
        <v>56</v>
      </c>
      <c r="F4" s="8" t="s">
        <v>57</v>
      </c>
      <c r="G4" s="8" t="s">
        <v>45</v>
      </c>
      <c r="H4" s="8" t="n">
        <v>1</v>
      </c>
      <c r="I4" s="9" t="s">
        <v>19</v>
      </c>
      <c r="J4" s="9"/>
      <c r="K4" s="9"/>
      <c r="L4" s="8" t="s">
        <v>58</v>
      </c>
    </row>
    <row r="5" customFormat="false" ht="43.5" hidden="false" customHeight="true" outlineLevel="0" collapsed="false">
      <c r="A5" s="10" t="s">
        <v>59</v>
      </c>
      <c r="B5" s="10" t="s">
        <v>60</v>
      </c>
      <c r="C5" s="10" t="s">
        <v>61</v>
      </c>
      <c r="D5" s="10" t="s">
        <v>62</v>
      </c>
      <c r="E5" s="10" t="s">
        <v>63</v>
      </c>
      <c r="F5" s="10" t="s">
        <v>64</v>
      </c>
      <c r="G5" s="10" t="s">
        <v>65</v>
      </c>
      <c r="H5" s="10" t="n">
        <v>2</v>
      </c>
      <c r="I5" s="9" t="s">
        <v>19</v>
      </c>
      <c r="J5" s="9"/>
      <c r="K5" s="9"/>
      <c r="L5" s="10" t="s">
        <v>66</v>
      </c>
    </row>
    <row r="6" customFormat="false" ht="43.5" hidden="false" customHeight="true" outlineLevel="0" collapsed="false">
      <c r="A6" s="8" t="s">
        <v>67</v>
      </c>
      <c r="B6" s="8" t="s">
        <v>60</v>
      </c>
      <c r="C6" s="8" t="s">
        <v>68</v>
      </c>
      <c r="D6" s="8" t="s">
        <v>69</v>
      </c>
      <c r="E6" s="8" t="s">
        <v>70</v>
      </c>
      <c r="F6" s="8" t="s">
        <v>71</v>
      </c>
      <c r="G6" s="8" t="s">
        <v>65</v>
      </c>
      <c r="H6" s="8" t="n">
        <v>2</v>
      </c>
      <c r="I6" s="9" t="s">
        <v>19</v>
      </c>
      <c r="J6" s="9"/>
      <c r="K6" s="9"/>
      <c r="L6" s="8" t="s">
        <v>72</v>
      </c>
    </row>
    <row r="7" customFormat="false" ht="43.5" hidden="false" customHeight="true" outlineLevel="0" collapsed="false">
      <c r="A7" s="10" t="s">
        <v>73</v>
      </c>
      <c r="B7" s="10" t="s">
        <v>60</v>
      </c>
      <c r="C7" s="10" t="s">
        <v>74</v>
      </c>
      <c r="D7" s="10" t="s">
        <v>75</v>
      </c>
      <c r="E7" s="10" t="s">
        <v>76</v>
      </c>
      <c r="F7" s="10" t="s">
        <v>77</v>
      </c>
      <c r="G7" s="10" t="s">
        <v>65</v>
      </c>
      <c r="H7" s="10" t="n">
        <v>2</v>
      </c>
      <c r="I7" s="9" t="s">
        <v>19</v>
      </c>
      <c r="J7" s="9"/>
      <c r="K7" s="9"/>
      <c r="L7" s="10" t="s">
        <v>78</v>
      </c>
    </row>
    <row r="8" customFormat="false" ht="43.5" hidden="false" customHeight="true" outlineLevel="0" collapsed="false">
      <c r="A8" s="8" t="s">
        <v>79</v>
      </c>
      <c r="B8" s="8" t="s">
        <v>60</v>
      </c>
      <c r="C8" s="8" t="s">
        <v>80</v>
      </c>
      <c r="D8" s="8" t="s">
        <v>81</v>
      </c>
      <c r="E8" s="8" t="s">
        <v>76</v>
      </c>
      <c r="F8" s="8" t="s">
        <v>82</v>
      </c>
      <c r="G8" s="8" t="s">
        <v>65</v>
      </c>
      <c r="H8" s="8" t="n">
        <v>3</v>
      </c>
      <c r="I8" s="9" t="s">
        <v>19</v>
      </c>
      <c r="J8" s="9"/>
      <c r="K8" s="9"/>
      <c r="L8" s="8" t="s">
        <v>83</v>
      </c>
    </row>
    <row r="9" customFormat="false" ht="43.5" hidden="false" customHeight="true" outlineLevel="0" collapsed="false">
      <c r="A9" s="10" t="s">
        <v>84</v>
      </c>
      <c r="B9" s="10" t="s">
        <v>85</v>
      </c>
      <c r="C9" s="10" t="s">
        <v>86</v>
      </c>
      <c r="D9" s="10" t="s">
        <v>87</v>
      </c>
      <c r="E9" s="10" t="s">
        <v>88</v>
      </c>
      <c r="F9" s="10" t="s">
        <v>89</v>
      </c>
      <c r="G9" s="10" t="s">
        <v>90</v>
      </c>
      <c r="H9" s="10" t="n">
        <v>1</v>
      </c>
      <c r="I9" s="9" t="s">
        <v>19</v>
      </c>
      <c r="J9" s="9"/>
      <c r="K9" s="9"/>
      <c r="L9" s="10" t="s">
        <v>91</v>
      </c>
    </row>
    <row r="10" customFormat="false" ht="43.5" hidden="false" customHeight="true" outlineLevel="0" collapsed="false">
      <c r="A10" s="8" t="s">
        <v>92</v>
      </c>
      <c r="B10" s="8" t="s">
        <v>85</v>
      </c>
      <c r="C10" s="8" t="s">
        <v>93</v>
      </c>
      <c r="D10" s="8" t="s">
        <v>94</v>
      </c>
      <c r="E10" s="8" t="s">
        <v>95</v>
      </c>
      <c r="F10" s="8" t="s">
        <v>96</v>
      </c>
      <c r="G10" s="8" t="s">
        <v>97</v>
      </c>
      <c r="H10" s="8" t="n">
        <v>1</v>
      </c>
      <c r="I10" s="9" t="s">
        <v>19</v>
      </c>
      <c r="J10" s="9"/>
      <c r="K10" s="9"/>
      <c r="L10" s="8" t="s">
        <v>98</v>
      </c>
    </row>
    <row r="11" customFormat="false" ht="43.5" hidden="false" customHeight="true" outlineLevel="0" collapsed="false">
      <c r="A11" s="10" t="s">
        <v>99</v>
      </c>
      <c r="B11" s="10" t="s">
        <v>85</v>
      </c>
      <c r="C11" s="10" t="s">
        <v>100</v>
      </c>
      <c r="D11" s="10" t="s">
        <v>101</v>
      </c>
      <c r="E11" s="10" t="s">
        <v>102</v>
      </c>
      <c r="F11" s="10" t="s">
        <v>103</v>
      </c>
      <c r="G11" s="10" t="s">
        <v>65</v>
      </c>
      <c r="H11" s="10" t="n">
        <v>2</v>
      </c>
      <c r="I11" s="9" t="s">
        <v>19</v>
      </c>
      <c r="J11" s="9"/>
      <c r="K11" s="9"/>
      <c r="L11" s="10" t="s">
        <v>104</v>
      </c>
    </row>
    <row r="12" customFormat="false" ht="43.5" hidden="false" customHeight="true" outlineLevel="0" collapsed="false">
      <c r="A12" s="8" t="s">
        <v>105</v>
      </c>
      <c r="B12" s="8" t="s">
        <v>106</v>
      </c>
      <c r="C12" s="8" t="s">
        <v>107</v>
      </c>
      <c r="D12" s="8" t="s">
        <v>108</v>
      </c>
      <c r="E12" s="8" t="s">
        <v>109</v>
      </c>
      <c r="F12" s="8" t="s">
        <v>110</v>
      </c>
      <c r="G12" s="8" t="s">
        <v>45</v>
      </c>
      <c r="H12" s="8" t="n">
        <v>1</v>
      </c>
      <c r="I12" s="9" t="s">
        <v>19</v>
      </c>
      <c r="J12" s="9"/>
      <c r="K12" s="9"/>
      <c r="L12" s="8" t="s">
        <v>111</v>
      </c>
    </row>
    <row r="13" customFormat="false" ht="43.5" hidden="false" customHeight="true" outlineLevel="0" collapsed="false">
      <c r="A13" s="10" t="s">
        <v>112</v>
      </c>
      <c r="B13" s="10" t="s">
        <v>106</v>
      </c>
      <c r="C13" s="10" t="s">
        <v>113</v>
      </c>
      <c r="D13" s="10" t="s">
        <v>114</v>
      </c>
      <c r="E13" s="10" t="s">
        <v>109</v>
      </c>
      <c r="F13" s="10" t="s">
        <v>115</v>
      </c>
      <c r="G13" s="10" t="s">
        <v>97</v>
      </c>
      <c r="H13" s="10" t="n">
        <v>1</v>
      </c>
      <c r="I13" s="9" t="s">
        <v>19</v>
      </c>
      <c r="J13" s="9"/>
      <c r="K13" s="9"/>
      <c r="L13" s="10" t="s">
        <v>116</v>
      </c>
    </row>
    <row r="14" customFormat="false" ht="43.5" hidden="false" customHeight="true" outlineLevel="0" collapsed="false">
      <c r="A14" s="8" t="s">
        <v>117</v>
      </c>
      <c r="B14" s="8" t="s">
        <v>118</v>
      </c>
      <c r="C14" s="8" t="s">
        <v>119</v>
      </c>
      <c r="D14" s="8" t="s">
        <v>120</v>
      </c>
      <c r="E14" s="8" t="s">
        <v>121</v>
      </c>
      <c r="F14" s="8" t="s">
        <v>122</v>
      </c>
      <c r="G14" s="8" t="s">
        <v>123</v>
      </c>
      <c r="H14" s="8" t="n">
        <v>1</v>
      </c>
      <c r="I14" s="9" t="s">
        <v>19</v>
      </c>
      <c r="J14" s="9"/>
      <c r="K14" s="9"/>
      <c r="L14" s="8" t="s">
        <v>124</v>
      </c>
    </row>
    <row r="15" customFormat="false" ht="43.5" hidden="false" customHeight="true" outlineLevel="0" collapsed="false">
      <c r="A15" s="10" t="s">
        <v>125</v>
      </c>
      <c r="B15" s="10" t="s">
        <v>118</v>
      </c>
      <c r="C15" s="10" t="s">
        <v>126</v>
      </c>
      <c r="D15" s="10" t="s">
        <v>127</v>
      </c>
      <c r="E15" s="10" t="s">
        <v>128</v>
      </c>
      <c r="F15" s="10" t="s">
        <v>129</v>
      </c>
      <c r="G15" s="10" t="s">
        <v>130</v>
      </c>
      <c r="H15" s="10" t="n">
        <v>2</v>
      </c>
      <c r="I15" s="9" t="s">
        <v>19</v>
      </c>
      <c r="J15" s="9"/>
      <c r="K15" s="9"/>
      <c r="L15" s="10" t="s">
        <v>131</v>
      </c>
    </row>
    <row r="16" customFormat="false" ht="43.5" hidden="false" customHeight="true" outlineLevel="0" collapsed="false">
      <c r="A16" s="8" t="s">
        <v>132</v>
      </c>
      <c r="B16" s="8" t="s">
        <v>118</v>
      </c>
      <c r="C16" s="8" t="s">
        <v>133</v>
      </c>
      <c r="D16" s="8" t="s">
        <v>134</v>
      </c>
      <c r="E16" s="8" t="s">
        <v>135</v>
      </c>
      <c r="F16" s="8" t="s">
        <v>136</v>
      </c>
      <c r="G16" s="8" t="s">
        <v>65</v>
      </c>
      <c r="H16" s="8" t="n">
        <v>1</v>
      </c>
      <c r="I16" s="9" t="s">
        <v>19</v>
      </c>
      <c r="J16" s="9"/>
      <c r="K16" s="9"/>
      <c r="L16" s="8" t="s">
        <v>137</v>
      </c>
    </row>
    <row r="17" customFormat="false" ht="43.5" hidden="false" customHeight="true" outlineLevel="0" collapsed="false">
      <c r="A17" s="10" t="s">
        <v>138</v>
      </c>
      <c r="B17" s="10" t="s">
        <v>118</v>
      </c>
      <c r="C17" s="10" t="s">
        <v>139</v>
      </c>
      <c r="D17" s="10" t="s">
        <v>140</v>
      </c>
      <c r="E17" s="10" t="s">
        <v>109</v>
      </c>
      <c r="F17" s="10" t="s">
        <v>141</v>
      </c>
      <c r="G17" s="10" t="s">
        <v>65</v>
      </c>
      <c r="H17" s="10" t="n">
        <v>2</v>
      </c>
      <c r="I17" s="9" t="s">
        <v>19</v>
      </c>
      <c r="J17" s="9"/>
      <c r="K17" s="9"/>
      <c r="L17" s="10" t="s">
        <v>142</v>
      </c>
    </row>
  </sheetData>
  <autoFilter ref="A1:L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34"/>
    <col collapsed="false" customWidth="true" hidden="false" outlineLevel="0" max="4" min="4" style="0" width="70"/>
    <col collapsed="false" customWidth="true" hidden="false" outlineLevel="0" max="6" min="5" style="0" width="26"/>
    <col collapsed="false" customWidth="true" hidden="false" outlineLevel="0" max="7" min="7" style="0" width="36"/>
  </cols>
  <sheetData>
    <row r="1" customFormat="false" ht="27.75" hidden="false" customHeight="true" outlineLevel="0" collapsed="false">
      <c r="A1" s="7" t="s">
        <v>27</v>
      </c>
      <c r="B1" s="7" t="s">
        <v>143</v>
      </c>
      <c r="C1" s="7" t="s">
        <v>144</v>
      </c>
      <c r="D1" s="7" t="s">
        <v>145</v>
      </c>
      <c r="E1" s="7" t="s">
        <v>146</v>
      </c>
      <c r="F1" s="7" t="s">
        <v>147</v>
      </c>
      <c r="G1" s="7" t="s">
        <v>148</v>
      </c>
    </row>
    <row r="2" customFormat="false" ht="51.75" hidden="false" customHeight="true" outlineLevel="0" collapsed="false">
      <c r="A2" s="8" t="s">
        <v>39</v>
      </c>
      <c r="B2" s="8" t="s">
        <v>149</v>
      </c>
      <c r="C2" s="8" t="s">
        <v>150</v>
      </c>
      <c r="D2" s="8" t="s">
        <v>151</v>
      </c>
      <c r="E2" s="8" t="s">
        <v>152</v>
      </c>
      <c r="F2" s="8" t="s">
        <v>153</v>
      </c>
      <c r="G2" s="8" t="s">
        <v>154</v>
      </c>
    </row>
    <row r="3" customFormat="false" ht="51.75" hidden="false" customHeight="true" outlineLevel="0" collapsed="false">
      <c r="A3" s="10" t="s">
        <v>39</v>
      </c>
      <c r="B3" s="10" t="s">
        <v>155</v>
      </c>
      <c r="C3" s="10" t="s">
        <v>156</v>
      </c>
      <c r="D3" s="10" t="s">
        <v>157</v>
      </c>
      <c r="E3" s="10" t="s">
        <v>158</v>
      </c>
      <c r="F3" s="10" t="s">
        <v>159</v>
      </c>
      <c r="G3" s="10" t="s">
        <v>160</v>
      </c>
    </row>
    <row r="4" customFormat="false" ht="51.75" hidden="false" customHeight="true" outlineLevel="0" collapsed="false">
      <c r="A4" s="8" t="s">
        <v>47</v>
      </c>
      <c r="B4" s="8" t="s">
        <v>161</v>
      </c>
      <c r="C4" s="8"/>
      <c r="D4" s="8" t="s">
        <v>162</v>
      </c>
      <c r="E4" s="8"/>
      <c r="F4" s="8"/>
      <c r="G4" s="8"/>
    </row>
    <row r="5" customFormat="false" ht="51.75" hidden="false" customHeight="true" outlineLevel="0" collapsed="false">
      <c r="A5" s="10" t="s">
        <v>53</v>
      </c>
      <c r="B5" s="10" t="s">
        <v>163</v>
      </c>
      <c r="C5" s="10"/>
      <c r="D5" s="10" t="s">
        <v>164</v>
      </c>
      <c r="E5" s="10"/>
      <c r="F5" s="10"/>
      <c r="G5" s="10"/>
    </row>
    <row r="6" customFormat="false" ht="51.75" hidden="false" customHeight="true" outlineLevel="0" collapsed="false">
      <c r="A6" s="8" t="s">
        <v>59</v>
      </c>
      <c r="B6" s="8" t="s">
        <v>165</v>
      </c>
      <c r="C6" s="8" t="s">
        <v>166</v>
      </c>
      <c r="D6" s="8" t="s">
        <v>167</v>
      </c>
      <c r="E6" s="8"/>
      <c r="F6" s="8"/>
      <c r="G6" s="8" t="s">
        <v>168</v>
      </c>
    </row>
    <row r="7" customFormat="false" ht="51.75" hidden="false" customHeight="true" outlineLevel="0" collapsed="false">
      <c r="A7" s="10" t="s">
        <v>59</v>
      </c>
      <c r="B7" s="10" t="s">
        <v>169</v>
      </c>
      <c r="C7" s="10" t="s">
        <v>166</v>
      </c>
      <c r="D7" s="10" t="s">
        <v>170</v>
      </c>
      <c r="E7" s="10"/>
      <c r="F7" s="10"/>
      <c r="G7" s="10" t="s">
        <v>171</v>
      </c>
    </row>
    <row r="8" customFormat="false" ht="51.75" hidden="false" customHeight="true" outlineLevel="0" collapsed="false">
      <c r="A8" s="8" t="s">
        <v>59</v>
      </c>
      <c r="B8" s="8" t="s">
        <v>155</v>
      </c>
      <c r="C8" s="8" t="s">
        <v>166</v>
      </c>
      <c r="D8" s="8" t="s">
        <v>172</v>
      </c>
      <c r="E8" s="8"/>
      <c r="F8" s="8"/>
      <c r="G8" s="8" t="s">
        <v>173</v>
      </c>
    </row>
    <row r="9" customFormat="false" ht="51.75" hidden="false" customHeight="true" outlineLevel="0" collapsed="false">
      <c r="A9" s="10" t="s">
        <v>67</v>
      </c>
      <c r="B9" s="10" t="s">
        <v>174</v>
      </c>
      <c r="C9" s="10"/>
      <c r="D9" s="10" t="s">
        <v>175</v>
      </c>
      <c r="E9" s="10"/>
      <c r="F9" s="10"/>
      <c r="G9" s="10"/>
    </row>
    <row r="10" customFormat="false" ht="51.75" hidden="false" customHeight="true" outlineLevel="0" collapsed="false">
      <c r="A10" s="8" t="s">
        <v>73</v>
      </c>
      <c r="B10" s="8" t="s">
        <v>176</v>
      </c>
      <c r="C10" s="8"/>
      <c r="D10" s="8" t="s">
        <v>177</v>
      </c>
      <c r="E10" s="8"/>
      <c r="F10" s="8"/>
      <c r="G10" s="8"/>
    </row>
    <row r="11" customFormat="false" ht="51.75" hidden="false" customHeight="true" outlineLevel="0" collapsed="false">
      <c r="A11" s="10" t="s">
        <v>79</v>
      </c>
      <c r="B11" s="10" t="s">
        <v>176</v>
      </c>
      <c r="C11" s="10"/>
      <c r="D11" s="10" t="s">
        <v>178</v>
      </c>
      <c r="E11" s="10"/>
      <c r="F11" s="10"/>
      <c r="G11" s="10"/>
    </row>
    <row r="12" customFormat="false" ht="51.75" hidden="false" customHeight="true" outlineLevel="0" collapsed="false">
      <c r="A12" s="8" t="s">
        <v>84</v>
      </c>
      <c r="B12" s="8" t="s">
        <v>179</v>
      </c>
      <c r="C12" s="8" t="s">
        <v>180</v>
      </c>
      <c r="D12" s="8" t="s">
        <v>181</v>
      </c>
      <c r="E12" s="8" t="s">
        <v>182</v>
      </c>
      <c r="F12" s="8" t="s">
        <v>183</v>
      </c>
      <c r="G12" s="8" t="s">
        <v>184</v>
      </c>
    </row>
    <row r="13" customFormat="false" ht="51.75" hidden="false" customHeight="true" outlineLevel="0" collapsed="false">
      <c r="A13" s="10" t="s">
        <v>92</v>
      </c>
      <c r="B13" s="10" t="s">
        <v>93</v>
      </c>
      <c r="C13" s="10" t="s">
        <v>185</v>
      </c>
      <c r="D13" s="10" t="s">
        <v>186</v>
      </c>
      <c r="E13" s="10" t="s">
        <v>158</v>
      </c>
      <c r="F13" s="10" t="s">
        <v>159</v>
      </c>
      <c r="G13" s="10" t="s">
        <v>187</v>
      </c>
    </row>
    <row r="14" customFormat="false" ht="51.75" hidden="false" customHeight="true" outlineLevel="0" collapsed="false">
      <c r="A14" s="8" t="s">
        <v>99</v>
      </c>
      <c r="B14" s="8" t="s">
        <v>188</v>
      </c>
      <c r="C14" s="8"/>
      <c r="D14" s="8" t="s">
        <v>189</v>
      </c>
      <c r="E14" s="8"/>
      <c r="F14" s="8"/>
      <c r="G14" s="8"/>
    </row>
    <row r="15" customFormat="false" ht="51.75" hidden="false" customHeight="true" outlineLevel="0" collapsed="false">
      <c r="A15" s="10" t="s">
        <v>105</v>
      </c>
      <c r="B15" s="10" t="s">
        <v>109</v>
      </c>
      <c r="C15" s="10" t="s">
        <v>190</v>
      </c>
      <c r="D15" s="10" t="s">
        <v>191</v>
      </c>
      <c r="E15" s="10"/>
      <c r="F15" s="10"/>
      <c r="G15" s="10" t="s">
        <v>192</v>
      </c>
    </row>
    <row r="16" customFormat="false" ht="51.75" hidden="false" customHeight="true" outlineLevel="0" collapsed="false">
      <c r="A16" s="8" t="s">
        <v>112</v>
      </c>
      <c r="B16" s="8" t="s">
        <v>193</v>
      </c>
      <c r="C16" s="8"/>
      <c r="D16" s="8" t="s">
        <v>194</v>
      </c>
      <c r="E16" s="8"/>
      <c r="F16" s="8"/>
      <c r="G16" s="8"/>
    </row>
    <row r="17" customFormat="false" ht="51.75" hidden="false" customHeight="true" outlineLevel="0" collapsed="false">
      <c r="A17" s="10" t="s">
        <v>117</v>
      </c>
      <c r="B17" s="10" t="s">
        <v>195</v>
      </c>
      <c r="C17" s="10" t="s">
        <v>196</v>
      </c>
      <c r="D17" s="10" t="s">
        <v>197</v>
      </c>
      <c r="E17" s="10"/>
      <c r="F17" s="10"/>
      <c r="G17" s="10" t="s">
        <v>198</v>
      </c>
    </row>
    <row r="18" customFormat="false" ht="51.75" hidden="false" customHeight="true" outlineLevel="0" collapsed="false">
      <c r="A18" s="8" t="s">
        <v>132</v>
      </c>
      <c r="B18" s="8" t="s">
        <v>199</v>
      </c>
      <c r="C18" s="8"/>
      <c r="D18" s="8" t="s">
        <v>200</v>
      </c>
      <c r="E18" s="8"/>
      <c r="F18" s="8"/>
      <c r="G18" s="8"/>
    </row>
    <row r="19" customFormat="false" ht="51.75" hidden="false" customHeight="true" outlineLevel="0" collapsed="false">
      <c r="A19" s="10" t="s">
        <v>132</v>
      </c>
      <c r="B19" s="10" t="s">
        <v>201</v>
      </c>
      <c r="C19" s="10"/>
      <c r="D19" s="10" t="s">
        <v>202</v>
      </c>
      <c r="E19" s="10"/>
      <c r="F19" s="10"/>
      <c r="G19" s="10"/>
    </row>
    <row r="20" customFormat="false" ht="51.75" hidden="false" customHeight="true" outlineLevel="0" collapsed="false">
      <c r="A20" s="8" t="s">
        <v>132</v>
      </c>
      <c r="B20" s="8" t="s">
        <v>203</v>
      </c>
      <c r="C20" s="8"/>
      <c r="D20" s="8" t="s">
        <v>204</v>
      </c>
      <c r="E20" s="8"/>
      <c r="F20" s="8"/>
      <c r="G20"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72"/>
    <col collapsed="false" customWidth="true" hidden="false" outlineLevel="0" max="3" min="3" style="0" width="16"/>
    <col collapsed="false" customWidth="true" hidden="false" outlineLevel="0" max="4" min="4" style="0" width="8"/>
    <col collapsed="false" customWidth="true" hidden="false" outlineLevel="0" max="5" min="5" style="0" width="15"/>
    <col collapsed="false" customWidth="true" hidden="false" outlineLevel="0" max="6" min="6" style="0" width="18"/>
    <col collapsed="false" customWidth="true" hidden="false" outlineLevel="0" max="7" min="7" style="0" width="10"/>
  </cols>
  <sheetData>
    <row r="1" customFormat="false" ht="27.75" hidden="false" customHeight="true" outlineLevel="0" collapsed="false">
      <c r="A1" s="7" t="s">
        <v>205</v>
      </c>
      <c r="B1" s="7" t="s">
        <v>206</v>
      </c>
      <c r="C1" s="7" t="s">
        <v>207</v>
      </c>
      <c r="D1" s="7" t="s">
        <v>34</v>
      </c>
      <c r="E1" s="7" t="s">
        <v>35</v>
      </c>
      <c r="F1" s="7" t="s">
        <v>36</v>
      </c>
      <c r="G1" s="7" t="s">
        <v>37</v>
      </c>
    </row>
    <row r="2" customFormat="false" ht="43.5" hidden="false" customHeight="true" outlineLevel="0" collapsed="false">
      <c r="A2" s="8" t="s">
        <v>208</v>
      </c>
      <c r="B2" s="8" t="s">
        <v>209</v>
      </c>
      <c r="C2" s="8" t="s">
        <v>210</v>
      </c>
      <c r="D2" s="8" t="n">
        <v>1</v>
      </c>
      <c r="E2" s="9" t="s">
        <v>19</v>
      </c>
      <c r="F2" s="9"/>
      <c r="G2" s="9"/>
    </row>
    <row r="3" customFormat="false" ht="43.5" hidden="false" customHeight="true" outlineLevel="0" collapsed="false">
      <c r="A3" s="10" t="s">
        <v>211</v>
      </c>
      <c r="B3" s="10" t="s">
        <v>212</v>
      </c>
      <c r="C3" s="10" t="s">
        <v>213</v>
      </c>
      <c r="D3" s="10" t="n">
        <v>1</v>
      </c>
      <c r="E3" s="9" t="s">
        <v>19</v>
      </c>
      <c r="F3" s="9"/>
      <c r="G3" s="9"/>
    </row>
    <row r="4" customFormat="false" ht="43.5" hidden="false" customHeight="true" outlineLevel="0" collapsed="false">
      <c r="A4" s="8" t="s">
        <v>214</v>
      </c>
      <c r="B4" s="8" t="s">
        <v>215</v>
      </c>
      <c r="C4" s="8" t="s">
        <v>210</v>
      </c>
      <c r="D4" s="8" t="n">
        <v>1</v>
      </c>
      <c r="E4" s="9" t="s">
        <v>19</v>
      </c>
      <c r="F4" s="9"/>
      <c r="G4" s="9"/>
    </row>
    <row r="5" customFormat="false" ht="43.5" hidden="false" customHeight="true" outlineLevel="0" collapsed="false">
      <c r="A5" s="10" t="s">
        <v>216</v>
      </c>
      <c r="B5" s="10" t="s">
        <v>217</v>
      </c>
      <c r="C5" s="10" t="s">
        <v>218</v>
      </c>
      <c r="D5" s="10" t="n">
        <v>1</v>
      </c>
      <c r="E5" s="9" t="s">
        <v>19</v>
      </c>
      <c r="F5" s="9"/>
      <c r="G5" s="9"/>
    </row>
    <row r="6" customFormat="false" ht="43.5" hidden="false" customHeight="true" outlineLevel="0" collapsed="false">
      <c r="A6" s="8" t="s">
        <v>219</v>
      </c>
      <c r="B6" s="8" t="s">
        <v>220</v>
      </c>
      <c r="C6" s="8" t="s">
        <v>221</v>
      </c>
      <c r="D6" s="8" t="n">
        <v>1</v>
      </c>
      <c r="E6" s="9" t="s">
        <v>19</v>
      </c>
      <c r="F6" s="9"/>
      <c r="G6" s="9"/>
    </row>
    <row r="7" customFormat="false" ht="43.5" hidden="false" customHeight="true" outlineLevel="0" collapsed="false">
      <c r="A7" s="10" t="s">
        <v>222</v>
      </c>
      <c r="B7" s="10" t="s">
        <v>223</v>
      </c>
      <c r="C7" s="10" t="s">
        <v>210</v>
      </c>
      <c r="D7" s="10" t="n">
        <v>1</v>
      </c>
      <c r="E7" s="9" t="s">
        <v>19</v>
      </c>
      <c r="F7" s="9"/>
      <c r="G7" s="9"/>
    </row>
    <row r="8" customFormat="false" ht="43.5" hidden="false" customHeight="true" outlineLevel="0" collapsed="false">
      <c r="A8" s="8" t="s">
        <v>224</v>
      </c>
      <c r="B8" s="8" t="s">
        <v>225</v>
      </c>
      <c r="C8" s="8" t="s">
        <v>226</v>
      </c>
      <c r="D8" s="8" t="n">
        <v>1</v>
      </c>
      <c r="E8" s="9" t="s">
        <v>19</v>
      </c>
      <c r="F8" s="9"/>
      <c r="G8" s="9"/>
    </row>
    <row r="9" customFormat="false" ht="43.5" hidden="false" customHeight="true" outlineLevel="0" collapsed="false">
      <c r="A9" s="10" t="s">
        <v>227</v>
      </c>
      <c r="B9" s="10" t="s">
        <v>228</v>
      </c>
      <c r="C9" s="10" t="s">
        <v>229</v>
      </c>
      <c r="D9" s="10" t="n">
        <v>1</v>
      </c>
      <c r="E9" s="9" t="s">
        <v>19</v>
      </c>
      <c r="F9" s="9"/>
      <c r="G9" s="9"/>
    </row>
    <row r="10" customFormat="false" ht="43.5" hidden="false" customHeight="true" outlineLevel="0" collapsed="false">
      <c r="A10" s="8" t="s">
        <v>230</v>
      </c>
      <c r="B10" s="8" t="s">
        <v>231</v>
      </c>
      <c r="C10" s="8" t="s">
        <v>112</v>
      </c>
      <c r="D10" s="8" t="n">
        <v>1</v>
      </c>
      <c r="E10" s="9" t="s">
        <v>19</v>
      </c>
      <c r="F10" s="9"/>
      <c r="G10" s="9"/>
    </row>
    <row r="11" customFormat="false" ht="43.5" hidden="false" customHeight="true" outlineLevel="0" collapsed="false">
      <c r="A11" s="10" t="s">
        <v>232</v>
      </c>
      <c r="B11" s="10" t="s">
        <v>233</v>
      </c>
      <c r="C11" s="10" t="s">
        <v>234</v>
      </c>
      <c r="D11" s="10" t="n">
        <v>1</v>
      </c>
      <c r="E11" s="9" t="s">
        <v>19</v>
      </c>
      <c r="F11" s="9"/>
      <c r="G11" s="9"/>
    </row>
    <row r="12" customFormat="false" ht="43.5" hidden="false" customHeight="true" outlineLevel="0" collapsed="false">
      <c r="A12" s="8" t="s">
        <v>235</v>
      </c>
      <c r="B12" s="8" t="s">
        <v>236</v>
      </c>
      <c r="C12" s="8" t="s">
        <v>237</v>
      </c>
      <c r="D12" s="8" t="n">
        <v>2</v>
      </c>
      <c r="E12" s="9" t="s">
        <v>19</v>
      </c>
      <c r="F12" s="9"/>
      <c r="G12" s="9"/>
    </row>
    <row r="13" customFormat="false" ht="43.5" hidden="false" customHeight="true" outlineLevel="0" collapsed="false">
      <c r="A13" s="10" t="s">
        <v>238</v>
      </c>
      <c r="B13" s="10" t="s">
        <v>239</v>
      </c>
      <c r="C13" s="10" t="s">
        <v>221</v>
      </c>
      <c r="D13" s="10" t="n">
        <v>2</v>
      </c>
      <c r="E13" s="9" t="s">
        <v>19</v>
      </c>
      <c r="F13" s="9"/>
      <c r="G13" s="9"/>
    </row>
    <row r="14" customFormat="false" ht="43.5" hidden="false" customHeight="true" outlineLevel="0" collapsed="false">
      <c r="A14" s="8" t="s">
        <v>240</v>
      </c>
      <c r="B14" s="8" t="s">
        <v>241</v>
      </c>
      <c r="C14" s="8" t="s">
        <v>242</v>
      </c>
      <c r="D14" s="8" t="n">
        <v>1</v>
      </c>
      <c r="E14" s="9" t="s">
        <v>19</v>
      </c>
      <c r="F14" s="9"/>
      <c r="G14" s="9"/>
    </row>
    <row r="15" customFormat="false" ht="43.5" hidden="false" customHeight="true" outlineLevel="0" collapsed="false">
      <c r="A15" s="10" t="s">
        <v>243</v>
      </c>
      <c r="B15" s="10" t="s">
        <v>244</v>
      </c>
      <c r="C15" s="10" t="s">
        <v>245</v>
      </c>
      <c r="D15" s="10" t="n">
        <v>2</v>
      </c>
      <c r="E15" s="9" t="s">
        <v>19</v>
      </c>
      <c r="F15" s="9"/>
      <c r="G15" s="9"/>
    </row>
  </sheetData>
  <autoFilter ref="A1:G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60"/>
    <col collapsed="false" customWidth="true" hidden="false" outlineLevel="0" max="3" min="3" style="0" width="50"/>
    <col collapsed="false" customWidth="true" hidden="false" outlineLevel="0" max="4" min="4" style="0" width="22"/>
  </cols>
  <sheetData>
    <row r="1" customFormat="false" ht="27.75" hidden="false" customHeight="true" outlineLevel="0" collapsed="false">
      <c r="A1" s="7" t="s">
        <v>246</v>
      </c>
      <c r="B1" s="7" t="s">
        <v>247</v>
      </c>
      <c r="C1" s="7" t="s">
        <v>248</v>
      </c>
      <c r="D1" s="7" t="s">
        <v>249</v>
      </c>
    </row>
    <row r="2" customFormat="false" ht="51.75" hidden="false" customHeight="true" outlineLevel="0" collapsed="false">
      <c r="A2" s="8" t="s">
        <v>250</v>
      </c>
      <c r="B2" s="8" t="s">
        <v>251</v>
      </c>
      <c r="C2" s="8" t="s">
        <v>252</v>
      </c>
      <c r="D2" s="8" t="s">
        <v>253</v>
      </c>
    </row>
    <row r="3" customFormat="false" ht="51.75" hidden="false" customHeight="true" outlineLevel="0" collapsed="false">
      <c r="A3" s="10" t="s">
        <v>254</v>
      </c>
      <c r="B3" s="10" t="s">
        <v>255</v>
      </c>
      <c r="C3" s="10" t="s">
        <v>256</v>
      </c>
      <c r="D3" s="10" t="s">
        <v>253</v>
      </c>
    </row>
    <row r="4" customFormat="false" ht="51.75" hidden="false" customHeight="true" outlineLevel="0" collapsed="false">
      <c r="A4" s="8" t="s">
        <v>257</v>
      </c>
      <c r="B4" s="8" t="s">
        <v>258</v>
      </c>
      <c r="C4" s="8" t="s">
        <v>259</v>
      </c>
      <c r="D4" s="8" t="s">
        <v>253</v>
      </c>
    </row>
    <row r="5" customFormat="false" ht="51.75" hidden="false" customHeight="true" outlineLevel="0" collapsed="false">
      <c r="A5" s="10" t="s">
        <v>260</v>
      </c>
      <c r="B5" s="10" t="s">
        <v>261</v>
      </c>
      <c r="C5" s="10" t="s">
        <v>262</v>
      </c>
      <c r="D5" s="10" t="s">
        <v>263</v>
      </c>
    </row>
    <row r="6" customFormat="false" ht="51.75" hidden="false" customHeight="true" outlineLevel="0" collapsed="false">
      <c r="A6" s="8" t="s">
        <v>264</v>
      </c>
      <c r="B6" s="8" t="s">
        <v>265</v>
      </c>
      <c r="C6" s="8" t="s">
        <v>266</v>
      </c>
      <c r="D6" s="8" t="s">
        <v>267</v>
      </c>
    </row>
    <row r="7" customFormat="false" ht="51.75" hidden="false" customHeight="true" outlineLevel="0" collapsed="false">
      <c r="A7" s="10" t="s">
        <v>268</v>
      </c>
      <c r="B7" s="10" t="s">
        <v>269</v>
      </c>
      <c r="C7" s="10" t="s">
        <v>270</v>
      </c>
      <c r="D7" s="10" t="s">
        <v>253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2026-09-02T14:34:57Z</dcterms:created>
  <dc:creator>openpyxl</dc:creator>
  <dc:description/>
  <dc:language>en-US</dc:language>
  <cp:lastModifiedBy/>
  <dcterms:modified xsi:type="dcterms:W3CDTF">2026-09-02T14:34:57Z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